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Linear Regression - Temp" sheetId="1" r:id="rId4"/>
    <sheet state="visible" name="Example Simple Linear Regressio" sheetId="2" r:id="rId5"/>
    <sheet state="visible" name="DTL - Template" sheetId="3" r:id="rId6"/>
    <sheet state="visible" name="Example DTL - Level 1" sheetId="4" r:id="rId7"/>
    <sheet state="visible" name="Example DTL - Level 2" sheetId="5" r:id="rId8"/>
    <sheet state="visible" name="Sheet4" sheetId="6" r:id="rId9"/>
  </sheets>
  <definedNames/>
  <calcPr/>
</workbook>
</file>

<file path=xl/sharedStrings.xml><?xml version="1.0" encoding="utf-8"?>
<sst xmlns="http://schemas.openxmlformats.org/spreadsheetml/2006/main" count="290" uniqueCount="66">
  <si>
    <t>STEP 1: GETTING FEATURE COMPONENTS</t>
  </si>
  <si>
    <t>STEP 2: CALCULATE FEATURE INTERACTIONS</t>
  </si>
  <si>
    <t>STEP 3: CALCULATE b1</t>
  </si>
  <si>
    <t>STEP 4: CALCULATE b0</t>
  </si>
  <si>
    <t>x(i)</t>
  </si>
  <si>
    <t>y(i)</t>
  </si>
  <si>
    <t>(x(i)-x_mean)</t>
  </si>
  <si>
    <t>(y(i)-y_mean)</t>
  </si>
  <si>
    <t>(x(i)-x_mean)*(y(i)-y_mean)</t>
  </si>
  <si>
    <t>(x(i)-x_mean)**2</t>
  </si>
  <si>
    <t>Variable Name</t>
  </si>
  <si>
    <t>Result</t>
  </si>
  <si>
    <t>b1</t>
  </si>
  <si>
    <t>b0</t>
  </si>
  <si>
    <t>Total</t>
  </si>
  <si>
    <t>Mean</t>
  </si>
  <si>
    <t>CORRECT SOLUTION</t>
  </si>
  <si>
    <t>y(x) = 2.2 + (0.9 * x)</t>
  </si>
  <si>
    <t>STEP 1: MENGHITUNG ENTROPI SEMESTA</t>
  </si>
  <si>
    <t>STEP 2: MENGHITUNG ENTROPI PARSIAL ATRIBUT</t>
  </si>
  <si>
    <t>STEP 3: MENGHITUNG GAIN</t>
  </si>
  <si>
    <t>Nama Variabel</t>
  </si>
  <si>
    <t>Target</t>
  </si>
  <si>
    <t>Count Variabel</t>
  </si>
  <si>
    <t>=-1*p(i)*log(p(i), 2)</t>
  </si>
  <si>
    <t>Nama Atribut</t>
  </si>
  <si>
    <t>Kategori</t>
  </si>
  <si>
    <t>=(S(v)/S)*SUM(-1*p(i)*log(p(i), 2))</t>
  </si>
  <si>
    <t>Gain</t>
  </si>
  <si>
    <t>Total Entropi Semesta</t>
  </si>
  <si>
    <t>Total Entropi Parsial Atribut</t>
  </si>
  <si>
    <t>Catatan</t>
  </si>
  <si>
    <t>Nilai 0*log(0) = 0 --&gt; HARUS DIISIKAN SECARA MANUAL</t>
  </si>
  <si>
    <t>HATI-HATI KALAU COPY PASTE TABEL --&gt; Pastikan referensi variabelnya benar</t>
  </si>
  <si>
    <t>PlayTennis</t>
  </si>
  <si>
    <t>Yes</t>
  </si>
  <si>
    <t>Wind</t>
  </si>
  <si>
    <t>Weak</t>
  </si>
  <si>
    <t>No</t>
  </si>
  <si>
    <t>Strong</t>
  </si>
  <si>
    <t>Humidity</t>
  </si>
  <si>
    <t>High</t>
  </si>
  <si>
    <t>Normal</t>
  </si>
  <si>
    <t>Temperature</t>
  </si>
  <si>
    <t>Hot</t>
  </si>
  <si>
    <t>Mild</t>
  </si>
  <si>
    <t>Cool</t>
  </si>
  <si>
    <t>Outlook</t>
  </si>
  <si>
    <t>Sunny</t>
  </si>
  <si>
    <t>Overcast</t>
  </si>
  <si>
    <t>Rain</t>
  </si>
  <si>
    <t>PlayTennis:Overcast,Sunny</t>
  </si>
  <si>
    <t>Learning rate</t>
  </si>
  <si>
    <t>Iterasi 1</t>
  </si>
  <si>
    <t>x1</t>
  </si>
  <si>
    <t>x2</t>
  </si>
  <si>
    <t>x3</t>
  </si>
  <si>
    <t>target</t>
  </si>
  <si>
    <t>w0</t>
  </si>
  <si>
    <t>w1</t>
  </si>
  <si>
    <t>w2</t>
  </si>
  <si>
    <t>w3</t>
  </si>
  <si>
    <t>sigma</t>
  </si>
  <si>
    <t>sign</t>
  </si>
  <si>
    <t>error</t>
  </si>
  <si>
    <t>wo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</si>
</sst>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Border="1" applyFill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/>
    </xf>
    <xf quotePrefix="1" borderId="0" fillId="0" fontId="2" numFmtId="0" xfId="0" applyAlignment="1" applyFont="1">
      <alignment readingOrder="0"/>
    </xf>
    <xf quotePrefix="1" borderId="1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readingOrder="0" vertical="center"/>
    </xf>
    <xf borderId="1" fillId="2" fontId="2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6" fillId="0" fontId="3" numFmtId="0" xfId="0" applyBorder="1" applyFont="1"/>
    <xf borderId="7" fillId="0" fontId="3" numFmtId="0" xfId="0" applyBorder="1" applyFont="1"/>
    <xf borderId="2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/>
    </xf>
    <xf borderId="0" fillId="0" fontId="2" numFmtId="164" xfId="0" applyFont="1" applyNumberFormat="1"/>
    <xf borderId="1" fillId="0" fontId="2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1" fillId="0" fontId="1" numFmtId="165" xfId="0" applyAlignment="1" applyBorder="1" applyFont="1" applyNumberFormat="1">
      <alignment horizontal="center"/>
    </xf>
    <xf borderId="5" fillId="0" fontId="2" numFmtId="0" xfId="0" applyAlignment="1" applyBorder="1" applyFont="1">
      <alignment readingOrder="0"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9</xdr:row>
      <xdr:rowOff>180975</xdr:rowOff>
    </xdr:from>
    <xdr:ext cx="10106025" cy="1590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18</xdr:row>
      <xdr:rowOff>66675</xdr:rowOff>
    </xdr:from>
    <xdr:ext cx="10106025" cy="3486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36</xdr:row>
      <xdr:rowOff>180975</xdr:rowOff>
    </xdr:from>
    <xdr:ext cx="8296275" cy="54387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13"/>
    <col customWidth="1" min="7" max="7" width="15.63"/>
    <col customWidth="1" min="8" max="8" width="27.13"/>
    <col customWidth="1" min="9" max="9" width="18.5"/>
    <col customWidth="1" min="11" max="11" width="16.13"/>
    <col customWidth="1" min="12" max="12" width="14.75"/>
    <col customWidth="1" min="14" max="14" width="15.38"/>
    <col customWidth="1" min="15" max="15" width="15.75"/>
  </cols>
  <sheetData>
    <row r="2">
      <c r="A2" s="1" t="s">
        <v>0</v>
      </c>
      <c r="E2" s="1" t="s">
        <v>1</v>
      </c>
      <c r="K2" s="1" t="s">
        <v>2</v>
      </c>
      <c r="N2" s="1" t="s">
        <v>3</v>
      </c>
    </row>
    <row r="3">
      <c r="A3" s="2"/>
      <c r="B3" s="3" t="s">
        <v>4</v>
      </c>
      <c r="C3" s="3" t="s">
        <v>5</v>
      </c>
      <c r="E3" s="2"/>
      <c r="F3" s="3" t="s">
        <v>6</v>
      </c>
      <c r="G3" s="3" t="s">
        <v>7</v>
      </c>
      <c r="H3" s="3" t="s">
        <v>8</v>
      </c>
      <c r="I3" s="3" t="s">
        <v>9</v>
      </c>
      <c r="K3" s="4" t="s">
        <v>10</v>
      </c>
      <c r="L3" s="4" t="s">
        <v>11</v>
      </c>
      <c r="N3" s="4" t="s">
        <v>10</v>
      </c>
      <c r="O3" s="4" t="s">
        <v>11</v>
      </c>
    </row>
    <row r="4">
      <c r="A4" s="2"/>
      <c r="B4" s="5"/>
      <c r="C4" s="5"/>
      <c r="E4" s="2"/>
      <c r="F4" s="5" t="str">
        <f t="shared" ref="F4:F6" si="1">B4-$B$8</f>
        <v>#DIV/0!</v>
      </c>
      <c r="G4" s="5" t="str">
        <f t="shared" ref="G4:G6" si="2">C4-$C$8</f>
        <v>#DIV/0!</v>
      </c>
      <c r="H4" s="5" t="str">
        <f t="shared" ref="H4:H6" si="3">F4*G4</f>
        <v>#DIV/0!</v>
      </c>
      <c r="I4" s="5" t="str">
        <f t="shared" ref="I4:I6" si="4">POWER(F4,2)</f>
        <v>#DIV/0!</v>
      </c>
      <c r="K4" s="6" t="s">
        <v>12</v>
      </c>
      <c r="L4" s="6" t="str">
        <f>H7/I7</f>
        <v>#DIV/0!</v>
      </c>
      <c r="N4" s="6" t="s">
        <v>13</v>
      </c>
      <c r="O4" s="7" t="str">
        <f>C8-(L4*B8)</f>
        <v>#DIV/0!</v>
      </c>
    </row>
    <row r="5">
      <c r="A5" s="2"/>
      <c r="B5" s="5"/>
      <c r="C5" s="5"/>
      <c r="E5" s="2"/>
      <c r="F5" s="5" t="str">
        <f t="shared" si="1"/>
        <v>#DIV/0!</v>
      </c>
      <c r="G5" s="5" t="str">
        <f t="shared" si="2"/>
        <v>#DIV/0!</v>
      </c>
      <c r="H5" s="5" t="str">
        <f t="shared" si="3"/>
        <v>#DIV/0!</v>
      </c>
      <c r="I5" s="5" t="str">
        <f t="shared" si="4"/>
        <v>#DIV/0!</v>
      </c>
    </row>
    <row r="6">
      <c r="A6" s="2"/>
      <c r="B6" s="5"/>
      <c r="C6" s="5"/>
      <c r="E6" s="2"/>
      <c r="F6" s="5" t="str">
        <f t="shared" si="1"/>
        <v>#DIV/0!</v>
      </c>
      <c r="G6" s="5" t="str">
        <f t="shared" si="2"/>
        <v>#DIV/0!</v>
      </c>
      <c r="H6" s="5" t="str">
        <f t="shared" si="3"/>
        <v>#DIV/0!</v>
      </c>
      <c r="I6" s="5" t="str">
        <f t="shared" si="4"/>
        <v>#DIV/0!</v>
      </c>
    </row>
    <row r="7">
      <c r="A7" s="4" t="s">
        <v>14</v>
      </c>
      <c r="B7" s="8">
        <f t="shared" ref="B7:C7" si="5">SUM(B4:B6)</f>
        <v>0</v>
      </c>
      <c r="C7" s="8">
        <f t="shared" si="5"/>
        <v>0</v>
      </c>
      <c r="E7" s="9" t="s">
        <v>14</v>
      </c>
      <c r="F7" s="10"/>
      <c r="G7" s="11"/>
      <c r="H7" s="8" t="str">
        <f t="shared" ref="H7:I7" si="6">SUM(H4:H6)</f>
        <v>#DIV/0!</v>
      </c>
      <c r="I7" s="8" t="str">
        <f t="shared" si="6"/>
        <v>#DIV/0!</v>
      </c>
    </row>
    <row r="8">
      <c r="A8" s="4" t="s">
        <v>15</v>
      </c>
      <c r="B8" s="8" t="str">
        <f t="shared" ref="B8:C8" si="7">AVERAGE(B4:B6)</f>
        <v>#DIV/0!</v>
      </c>
      <c r="C8" s="8" t="str">
        <f t="shared" si="7"/>
        <v>#DIV/0!</v>
      </c>
    </row>
  </sheetData>
  <mergeCells count="1">
    <mergeCell ref="E7:G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13"/>
    <col customWidth="1" min="7" max="7" width="15.63"/>
    <col customWidth="1" min="8" max="8" width="27.13"/>
    <col customWidth="1" min="9" max="9" width="18.5"/>
    <col customWidth="1" min="11" max="11" width="16.13"/>
    <col customWidth="1" min="12" max="12" width="14.75"/>
    <col customWidth="1" min="14" max="14" width="15.38"/>
    <col customWidth="1" min="15" max="15" width="15.75"/>
  </cols>
  <sheetData>
    <row r="2">
      <c r="A2" s="1" t="s">
        <v>0</v>
      </c>
      <c r="E2" s="1" t="s">
        <v>1</v>
      </c>
      <c r="K2" s="1" t="s">
        <v>2</v>
      </c>
      <c r="N2" s="1" t="s">
        <v>3</v>
      </c>
    </row>
    <row r="3">
      <c r="A3" s="2"/>
      <c r="B3" s="3" t="s">
        <v>4</v>
      </c>
      <c r="C3" s="3" t="s">
        <v>5</v>
      </c>
      <c r="E3" s="2"/>
      <c r="F3" s="3" t="s">
        <v>6</v>
      </c>
      <c r="G3" s="3" t="s">
        <v>7</v>
      </c>
      <c r="H3" s="3" t="s">
        <v>8</v>
      </c>
      <c r="I3" s="3" t="s">
        <v>9</v>
      </c>
      <c r="K3" s="4" t="s">
        <v>10</v>
      </c>
      <c r="L3" s="4" t="s">
        <v>11</v>
      </c>
      <c r="N3" s="4" t="s">
        <v>10</v>
      </c>
      <c r="O3" s="4" t="s">
        <v>11</v>
      </c>
    </row>
    <row r="4">
      <c r="A4" s="2"/>
      <c r="B4" s="12">
        <v>0.0</v>
      </c>
      <c r="C4" s="12">
        <v>2.0</v>
      </c>
      <c r="E4" s="2"/>
      <c r="F4" s="5">
        <f t="shared" ref="F4:F8" si="1">B4-$B$10</f>
        <v>-2</v>
      </c>
      <c r="G4" s="5">
        <f t="shared" ref="G4:G8" si="2">C4-$C$10</f>
        <v>-2</v>
      </c>
      <c r="H4" s="5">
        <f t="shared" ref="H4:H8" si="3">F4*G4</f>
        <v>4</v>
      </c>
      <c r="I4" s="5">
        <f t="shared" ref="I4:I8" si="4">POWER(F4,2)</f>
        <v>4</v>
      </c>
      <c r="K4" s="6" t="s">
        <v>12</v>
      </c>
      <c r="L4" s="6">
        <f>H9/I9</f>
        <v>0.9</v>
      </c>
      <c r="N4" s="6" t="s">
        <v>13</v>
      </c>
      <c r="O4" s="7">
        <f>C10-(L4*B10)</f>
        <v>2.2</v>
      </c>
    </row>
    <row r="5">
      <c r="A5" s="2"/>
      <c r="B5" s="12">
        <v>1.0</v>
      </c>
      <c r="C5" s="12">
        <v>3.0</v>
      </c>
      <c r="E5" s="2"/>
      <c r="F5" s="5">
        <f t="shared" si="1"/>
        <v>-1</v>
      </c>
      <c r="G5" s="5">
        <f t="shared" si="2"/>
        <v>-1</v>
      </c>
      <c r="H5" s="5">
        <f t="shared" si="3"/>
        <v>1</v>
      </c>
      <c r="I5" s="5">
        <f t="shared" si="4"/>
        <v>1</v>
      </c>
    </row>
    <row r="6">
      <c r="A6" s="2"/>
      <c r="B6" s="12">
        <v>2.0</v>
      </c>
      <c r="C6" s="12">
        <v>5.0</v>
      </c>
      <c r="E6" s="2"/>
      <c r="F6" s="5">
        <f t="shared" si="1"/>
        <v>0</v>
      </c>
      <c r="G6" s="5">
        <f t="shared" si="2"/>
        <v>1</v>
      </c>
      <c r="H6" s="5">
        <f t="shared" si="3"/>
        <v>0</v>
      </c>
      <c r="I6" s="5">
        <f t="shared" si="4"/>
        <v>0</v>
      </c>
    </row>
    <row r="7">
      <c r="A7" s="2"/>
      <c r="B7" s="12">
        <v>3.0</v>
      </c>
      <c r="C7" s="12">
        <v>4.0</v>
      </c>
      <c r="E7" s="2"/>
      <c r="F7" s="5">
        <f t="shared" si="1"/>
        <v>1</v>
      </c>
      <c r="G7" s="5">
        <f t="shared" si="2"/>
        <v>0</v>
      </c>
      <c r="H7" s="5">
        <f t="shared" si="3"/>
        <v>0</v>
      </c>
      <c r="I7" s="5">
        <f t="shared" si="4"/>
        <v>1</v>
      </c>
    </row>
    <row r="8">
      <c r="A8" s="2"/>
      <c r="B8" s="12">
        <v>4.0</v>
      </c>
      <c r="C8" s="12">
        <v>6.0</v>
      </c>
      <c r="E8" s="2"/>
      <c r="F8" s="5">
        <f t="shared" si="1"/>
        <v>2</v>
      </c>
      <c r="G8" s="5">
        <f t="shared" si="2"/>
        <v>2</v>
      </c>
      <c r="H8" s="5">
        <f t="shared" si="3"/>
        <v>4</v>
      </c>
      <c r="I8" s="5">
        <f t="shared" si="4"/>
        <v>4</v>
      </c>
    </row>
    <row r="9">
      <c r="A9" s="4" t="s">
        <v>14</v>
      </c>
      <c r="B9" s="8">
        <f t="shared" ref="B9:C9" si="5">SUM(B4:B8)</f>
        <v>10</v>
      </c>
      <c r="C9" s="8">
        <f t="shared" si="5"/>
        <v>20</v>
      </c>
      <c r="E9" s="9" t="s">
        <v>14</v>
      </c>
      <c r="F9" s="10"/>
      <c r="G9" s="11"/>
      <c r="H9" s="8">
        <f t="shared" ref="H9:I9" si="6">SUM(H4:H8)</f>
        <v>9</v>
      </c>
      <c r="I9" s="8">
        <f t="shared" si="6"/>
        <v>10</v>
      </c>
    </row>
    <row r="10">
      <c r="A10" s="4" t="s">
        <v>15</v>
      </c>
      <c r="B10" s="8">
        <f t="shared" ref="B10:C10" si="7">AVERAGE(B4:B8)</f>
        <v>2</v>
      </c>
      <c r="C10" s="8">
        <f t="shared" si="7"/>
        <v>4</v>
      </c>
    </row>
    <row r="13">
      <c r="A13" s="1" t="s">
        <v>16</v>
      </c>
    </row>
    <row r="14">
      <c r="A14" s="13" t="s">
        <v>17</v>
      </c>
    </row>
  </sheetData>
  <mergeCells count="1">
    <mergeCell ref="E9:G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25"/>
    <col customWidth="1" min="3" max="3" width="15.38"/>
    <col customWidth="1" min="4" max="4" width="17.88"/>
    <col customWidth="1" min="10" max="10" width="20.25"/>
    <col customWidth="1" min="11" max="11" width="30.25"/>
    <col customWidth="1" min="13" max="13" width="17.25"/>
  </cols>
  <sheetData>
    <row r="2">
      <c r="A2" s="1" t="s">
        <v>18</v>
      </c>
      <c r="F2" s="1" t="s">
        <v>19</v>
      </c>
      <c r="M2" s="1" t="s">
        <v>20</v>
      </c>
    </row>
    <row r="3">
      <c r="A3" s="4" t="s">
        <v>21</v>
      </c>
      <c r="B3" s="3" t="s">
        <v>22</v>
      </c>
      <c r="C3" s="3" t="s">
        <v>23</v>
      </c>
      <c r="D3" s="14" t="s">
        <v>24</v>
      </c>
      <c r="F3" s="4" t="s">
        <v>25</v>
      </c>
      <c r="G3" s="3" t="s">
        <v>26</v>
      </c>
      <c r="H3" s="3" t="s">
        <v>22</v>
      </c>
      <c r="I3" s="3" t="s">
        <v>23</v>
      </c>
      <c r="J3" s="14" t="s">
        <v>24</v>
      </c>
      <c r="K3" s="14" t="s">
        <v>27</v>
      </c>
      <c r="M3" s="4" t="s">
        <v>25</v>
      </c>
      <c r="N3" s="3" t="s">
        <v>28</v>
      </c>
    </row>
    <row r="4">
      <c r="A4" s="15"/>
      <c r="B4" s="12"/>
      <c r="C4" s="12"/>
      <c r="D4" s="16" t="str">
        <f t="shared" ref="D4:D5" si="1">-1*(C4/SUM($C$4:$C$5))*log(C4/SUM($C$4:$C$5),2)</f>
        <v>#DIV/0!</v>
      </c>
      <c r="F4" s="15"/>
      <c r="G4" s="17"/>
      <c r="H4" s="12"/>
      <c r="I4" s="12"/>
      <c r="J4" s="16" t="str">
        <f t="shared" ref="J4:J5" si="2">-1*(I4/$I$6)*log(I4/$I$6,2)</f>
        <v>#DIV/0!</v>
      </c>
      <c r="K4" s="18"/>
      <c r="M4" s="6" t="str">
        <f>F4</f>
        <v/>
      </c>
      <c r="N4" s="19" t="str">
        <f>$D$6-K10</f>
        <v>#DIV/0!</v>
      </c>
    </row>
    <row r="5">
      <c r="A5" s="20"/>
      <c r="B5" s="12"/>
      <c r="C5" s="12"/>
      <c r="D5" s="16" t="str">
        <f t="shared" si="1"/>
        <v>#DIV/0!</v>
      </c>
      <c r="F5" s="21"/>
      <c r="G5" s="20"/>
      <c r="H5" s="12"/>
      <c r="I5" s="12"/>
      <c r="J5" s="16" t="str">
        <f t="shared" si="2"/>
        <v>#DIV/0!</v>
      </c>
      <c r="K5" s="18"/>
    </row>
    <row r="6">
      <c r="A6" s="22" t="s">
        <v>29</v>
      </c>
      <c r="B6" s="11"/>
      <c r="C6" s="3">
        <f t="shared" ref="C6:D6" si="3">SUM(C4:C5)</f>
        <v>0</v>
      </c>
      <c r="D6" s="23" t="str">
        <f t="shared" si="3"/>
        <v>#DIV/0!</v>
      </c>
      <c r="F6" s="21"/>
      <c r="G6" s="9" t="s">
        <v>14</v>
      </c>
      <c r="H6" s="11"/>
      <c r="I6" s="8">
        <f t="shared" ref="I6:J6" si="4">SUM(I4:I5)</f>
        <v>0</v>
      </c>
      <c r="J6" s="23" t="str">
        <f t="shared" si="4"/>
        <v>#DIV/0!</v>
      </c>
      <c r="K6" s="23" t="str">
        <f>(I6/$C$6)*J6</f>
        <v>#DIV/0!</v>
      </c>
    </row>
    <row r="7">
      <c r="D7" s="24"/>
      <c r="F7" s="21"/>
      <c r="G7" s="17"/>
      <c r="H7" s="12"/>
      <c r="I7" s="12"/>
      <c r="J7" s="16" t="str">
        <f t="shared" ref="J7:J8" si="5">-1*(I7/$I$9)*log(I7/$I$9,2)</f>
        <v>#DIV/0!</v>
      </c>
      <c r="K7" s="18"/>
    </row>
    <row r="8">
      <c r="F8" s="21"/>
      <c r="G8" s="20"/>
      <c r="H8" s="12"/>
      <c r="I8" s="12"/>
      <c r="J8" s="16" t="str">
        <f t="shared" si="5"/>
        <v>#DIV/0!</v>
      </c>
      <c r="K8" s="18"/>
    </row>
    <row r="9">
      <c r="F9" s="20"/>
      <c r="G9" s="9" t="s">
        <v>14</v>
      </c>
      <c r="H9" s="11"/>
      <c r="I9" s="8">
        <f>sum(I7:I8)</f>
        <v>0</v>
      </c>
      <c r="J9" s="23" t="str">
        <f>SUM(J7:J8)</f>
        <v>#DIV/0!</v>
      </c>
      <c r="K9" s="23" t="str">
        <f>(I9/$C$6)*J9</f>
        <v>#DIV/0!</v>
      </c>
    </row>
    <row r="10">
      <c r="F10" s="22" t="s">
        <v>30</v>
      </c>
      <c r="G10" s="10"/>
      <c r="H10" s="10"/>
      <c r="I10" s="10"/>
      <c r="J10" s="11"/>
      <c r="K10" s="23" t="str">
        <f>K6+K9</f>
        <v>#DIV/0!</v>
      </c>
    </row>
    <row r="12">
      <c r="F12" s="4" t="s">
        <v>25</v>
      </c>
      <c r="G12" s="3" t="s">
        <v>26</v>
      </c>
      <c r="H12" s="3" t="s">
        <v>22</v>
      </c>
      <c r="I12" s="3" t="s">
        <v>23</v>
      </c>
      <c r="J12" s="14" t="s">
        <v>24</v>
      </c>
      <c r="K12" s="14" t="s">
        <v>27</v>
      </c>
      <c r="M12" s="4" t="s">
        <v>25</v>
      </c>
      <c r="N12" s="3" t="s">
        <v>28</v>
      </c>
    </row>
    <row r="13">
      <c r="F13" s="15"/>
      <c r="G13" s="17"/>
      <c r="H13" s="12"/>
      <c r="I13" s="12"/>
      <c r="J13" s="16" t="str">
        <f t="shared" ref="J13:J14" si="6">-1*(I13/$I$15)*log(I13/$I$15,2)</f>
        <v>#DIV/0!</v>
      </c>
      <c r="K13" s="18"/>
      <c r="M13" s="6" t="str">
        <f>F13</f>
        <v/>
      </c>
      <c r="N13" s="19" t="str">
        <f>$D$6-K19</f>
        <v>#DIV/0!</v>
      </c>
    </row>
    <row r="14">
      <c r="F14" s="21"/>
      <c r="G14" s="20"/>
      <c r="H14" s="12"/>
      <c r="I14" s="12"/>
      <c r="J14" s="16" t="str">
        <f t="shared" si="6"/>
        <v>#DIV/0!</v>
      </c>
      <c r="K14" s="18"/>
    </row>
    <row r="15">
      <c r="F15" s="21"/>
      <c r="G15" s="9" t="s">
        <v>14</v>
      </c>
      <c r="H15" s="11"/>
      <c r="I15" s="8">
        <f t="shared" ref="I15:J15" si="7">SUM(I13:I14)</f>
        <v>0</v>
      </c>
      <c r="J15" s="23" t="str">
        <f t="shared" si="7"/>
        <v>#DIV/0!</v>
      </c>
      <c r="K15" s="23" t="str">
        <f>(I15/$C$6)*J15</f>
        <v>#DIV/0!</v>
      </c>
    </row>
    <row r="16">
      <c r="F16" s="21"/>
      <c r="G16" s="17"/>
      <c r="H16" s="12"/>
      <c r="I16" s="12"/>
      <c r="J16" s="16" t="str">
        <f t="shared" ref="J16:J17" si="8">-1*(I16/$I$18)*log(I16/$I$18,2)</f>
        <v>#DIV/0!</v>
      </c>
      <c r="K16" s="18"/>
    </row>
    <row r="17">
      <c r="F17" s="21"/>
      <c r="G17" s="20"/>
      <c r="H17" s="12"/>
      <c r="I17" s="12"/>
      <c r="J17" s="16" t="str">
        <f t="shared" si="8"/>
        <v>#DIV/0!</v>
      </c>
      <c r="K17" s="18"/>
    </row>
    <row r="18">
      <c r="F18" s="20"/>
      <c r="G18" s="9" t="s">
        <v>14</v>
      </c>
      <c r="H18" s="11"/>
      <c r="I18" s="8">
        <f>sum(I16:I17)</f>
        <v>0</v>
      </c>
      <c r="J18" s="23" t="str">
        <f>SUM(J16:J17)</f>
        <v>#DIV/0!</v>
      </c>
      <c r="K18" s="23" t="str">
        <f>(I18/$C$6)*J18</f>
        <v>#DIV/0!</v>
      </c>
    </row>
    <row r="19">
      <c r="F19" s="22" t="s">
        <v>30</v>
      </c>
      <c r="G19" s="10"/>
      <c r="H19" s="10"/>
      <c r="I19" s="10"/>
      <c r="J19" s="11"/>
      <c r="K19" s="23" t="str">
        <f>K15+K18</f>
        <v>#DIV/0!</v>
      </c>
    </row>
    <row r="21">
      <c r="F21" s="4" t="s">
        <v>25</v>
      </c>
      <c r="G21" s="3" t="s">
        <v>26</v>
      </c>
      <c r="H21" s="3" t="s">
        <v>22</v>
      </c>
      <c r="I21" s="3" t="s">
        <v>23</v>
      </c>
      <c r="J21" s="14" t="s">
        <v>24</v>
      </c>
      <c r="K21" s="14" t="s">
        <v>27</v>
      </c>
      <c r="M21" s="4" t="s">
        <v>25</v>
      </c>
      <c r="N21" s="3" t="s">
        <v>28</v>
      </c>
    </row>
    <row r="22">
      <c r="F22" s="15"/>
      <c r="G22" s="17"/>
      <c r="H22" s="12"/>
      <c r="I22" s="12"/>
      <c r="J22" s="16" t="str">
        <f t="shared" ref="J22:J23" si="9">-1*(I22/$I$24)*log(I22/$I$24,2)</f>
        <v>#DIV/0!</v>
      </c>
      <c r="K22" s="18"/>
      <c r="M22" s="6" t="str">
        <f>F22</f>
        <v/>
      </c>
      <c r="N22" s="19" t="str">
        <f>$D$6-K31</f>
        <v>#DIV/0!</v>
      </c>
    </row>
    <row r="23">
      <c r="F23" s="21"/>
      <c r="G23" s="20"/>
      <c r="H23" s="12"/>
      <c r="I23" s="12"/>
      <c r="J23" s="16" t="str">
        <f t="shared" si="9"/>
        <v>#DIV/0!</v>
      </c>
      <c r="K23" s="18"/>
    </row>
    <row r="24">
      <c r="F24" s="21"/>
      <c r="G24" s="9" t="s">
        <v>14</v>
      </c>
      <c r="H24" s="11"/>
      <c r="I24" s="8">
        <f t="shared" ref="I24:J24" si="10">SUM(I22:I23)</f>
        <v>0</v>
      </c>
      <c r="J24" s="23" t="str">
        <f t="shared" si="10"/>
        <v>#DIV/0!</v>
      </c>
      <c r="K24" s="23" t="str">
        <f>(I24/$C$6)*J24</f>
        <v>#DIV/0!</v>
      </c>
    </row>
    <row r="25">
      <c r="F25" s="21"/>
      <c r="G25" s="17"/>
      <c r="H25" s="12"/>
      <c r="I25" s="12"/>
      <c r="J25" s="16" t="str">
        <f t="shared" ref="J25:J26" si="11">-1*(I25/$I$27)*log(I25/$I$27,2)</f>
        <v>#DIV/0!</v>
      </c>
      <c r="K25" s="18"/>
    </row>
    <row r="26">
      <c r="F26" s="21"/>
      <c r="G26" s="20"/>
      <c r="H26" s="12"/>
      <c r="I26" s="12"/>
      <c r="J26" s="16" t="str">
        <f t="shared" si="11"/>
        <v>#DIV/0!</v>
      </c>
      <c r="K26" s="18"/>
    </row>
    <row r="27">
      <c r="F27" s="21"/>
      <c r="G27" s="9" t="s">
        <v>14</v>
      </c>
      <c r="H27" s="11"/>
      <c r="I27" s="8">
        <f>sum(I25:I26)</f>
        <v>0</v>
      </c>
      <c r="J27" s="23" t="str">
        <f>SUM(J25:J26)</f>
        <v>#DIV/0!</v>
      </c>
      <c r="K27" s="23" t="str">
        <f>(I27/$C$6)*J27</f>
        <v>#DIV/0!</v>
      </c>
    </row>
    <row r="28">
      <c r="F28" s="21"/>
      <c r="G28" s="17"/>
      <c r="H28" s="12"/>
      <c r="I28" s="12"/>
      <c r="J28" s="25" t="str">
        <f t="shared" ref="J28:J29" si="12">-1*(I28/$I$30)*log(I28/$I$30,2)</f>
        <v>#DIV/0!</v>
      </c>
      <c r="K28" s="18"/>
    </row>
    <row r="29">
      <c r="F29" s="21"/>
      <c r="G29" s="20"/>
      <c r="H29" s="12"/>
      <c r="I29" s="12"/>
      <c r="J29" s="25" t="str">
        <f t="shared" si="12"/>
        <v>#DIV/0!</v>
      </c>
      <c r="K29" s="18"/>
    </row>
    <row r="30">
      <c r="F30" s="20"/>
      <c r="G30" s="9" t="s">
        <v>14</v>
      </c>
      <c r="H30" s="11"/>
      <c r="I30" s="3">
        <f t="shared" ref="I30:J30" si="13">SUM(I28:I29)</f>
        <v>0</v>
      </c>
      <c r="J30" s="26" t="str">
        <f t="shared" si="13"/>
        <v>#DIV/0!</v>
      </c>
      <c r="K30" s="23" t="str">
        <f>(I30/$C$6)*J30</f>
        <v>#DIV/0!</v>
      </c>
    </row>
    <row r="31">
      <c r="F31" s="22" t="s">
        <v>30</v>
      </c>
      <c r="G31" s="10"/>
      <c r="H31" s="10"/>
      <c r="I31" s="10"/>
      <c r="J31" s="11"/>
      <c r="K31" s="23" t="str">
        <f>K24+K27+K30</f>
        <v>#DIV/0!</v>
      </c>
    </row>
    <row r="33">
      <c r="F33" s="4" t="s">
        <v>25</v>
      </c>
      <c r="G33" s="3" t="s">
        <v>26</v>
      </c>
      <c r="H33" s="3" t="s">
        <v>22</v>
      </c>
      <c r="I33" s="3" t="s">
        <v>23</v>
      </c>
      <c r="J33" s="14" t="s">
        <v>24</v>
      </c>
      <c r="K33" s="14" t="s">
        <v>27</v>
      </c>
      <c r="M33" s="4" t="s">
        <v>25</v>
      </c>
      <c r="N33" s="3" t="s">
        <v>28</v>
      </c>
    </row>
    <row r="34">
      <c r="F34" s="15"/>
      <c r="G34" s="17"/>
      <c r="H34" s="12"/>
      <c r="I34" s="12"/>
      <c r="J34" s="16" t="str">
        <f t="shared" ref="J34:J35" si="14">-1*(I34/$I$36)*log(I34/$I$36,2)</f>
        <v>#DIV/0!</v>
      </c>
      <c r="K34" s="18"/>
      <c r="M34" s="6" t="str">
        <f>F34</f>
        <v/>
      </c>
      <c r="N34" s="19" t="str">
        <f>$D$6-K43</f>
        <v>#DIV/0!</v>
      </c>
    </row>
    <row r="35">
      <c r="F35" s="21"/>
      <c r="G35" s="20"/>
      <c r="H35" s="12"/>
      <c r="I35" s="12"/>
      <c r="J35" s="16" t="str">
        <f t="shared" si="14"/>
        <v>#DIV/0!</v>
      </c>
      <c r="K35" s="18"/>
    </row>
    <row r="36">
      <c r="F36" s="21"/>
      <c r="G36" s="9" t="s">
        <v>14</v>
      </c>
      <c r="H36" s="11"/>
      <c r="I36" s="8">
        <f t="shared" ref="I36:J36" si="15">SUM(I34:I35)</f>
        <v>0</v>
      </c>
      <c r="J36" s="23" t="str">
        <f t="shared" si="15"/>
        <v>#DIV/0!</v>
      </c>
      <c r="K36" s="23" t="str">
        <f>(I36/$C$6)*J36</f>
        <v>#DIV/0!</v>
      </c>
    </row>
    <row r="37">
      <c r="F37" s="21"/>
      <c r="G37" s="17"/>
      <c r="H37" s="12"/>
      <c r="I37" s="12"/>
      <c r="J37" s="16" t="str">
        <f t="shared" ref="J37:J38" si="16">-1*(I37/$I$39)*log(I37/$I$39,2)</f>
        <v>#DIV/0!</v>
      </c>
      <c r="K37" s="18"/>
    </row>
    <row r="38">
      <c r="F38" s="21"/>
      <c r="G38" s="20"/>
      <c r="H38" s="12"/>
      <c r="I38" s="12"/>
      <c r="J38" s="16" t="str">
        <f t="shared" si="16"/>
        <v>#DIV/0!</v>
      </c>
      <c r="K38" s="18"/>
    </row>
    <row r="39">
      <c r="F39" s="21"/>
      <c r="G39" s="9" t="s">
        <v>14</v>
      </c>
      <c r="H39" s="11"/>
      <c r="I39" s="8">
        <f>sum(I37:I38)</f>
        <v>0</v>
      </c>
      <c r="J39" s="26" t="str">
        <f>SUM(J37:J38)</f>
        <v>#DIV/0!</v>
      </c>
      <c r="K39" s="23" t="str">
        <f>(I39/$C$6)*J39</f>
        <v>#DIV/0!</v>
      </c>
    </row>
    <row r="40">
      <c r="F40" s="21"/>
      <c r="G40" s="17"/>
      <c r="H40" s="12"/>
      <c r="I40" s="12"/>
      <c r="J40" s="25" t="str">
        <f t="shared" ref="J40:J41" si="17">-1*(I40/$I$42)*log(I40/$I$42,2)</f>
        <v>#DIV/0!</v>
      </c>
      <c r="K40" s="18"/>
    </row>
    <row r="41">
      <c r="F41" s="21"/>
      <c r="G41" s="20"/>
      <c r="H41" s="12"/>
      <c r="I41" s="12"/>
      <c r="J41" s="25" t="str">
        <f t="shared" si="17"/>
        <v>#DIV/0!</v>
      </c>
      <c r="K41" s="18"/>
    </row>
    <row r="42">
      <c r="F42" s="20"/>
      <c r="G42" s="9" t="s">
        <v>14</v>
      </c>
      <c r="H42" s="11"/>
      <c r="I42" s="3">
        <f t="shared" ref="I42:J42" si="18">SUM(I40:I41)</f>
        <v>0</v>
      </c>
      <c r="J42" s="26" t="str">
        <f t="shared" si="18"/>
        <v>#DIV/0!</v>
      </c>
      <c r="K42" s="23" t="str">
        <f>(I42/$C$6)*J42</f>
        <v>#DIV/0!</v>
      </c>
    </row>
    <row r="43">
      <c r="F43" s="22" t="s">
        <v>30</v>
      </c>
      <c r="G43" s="10"/>
      <c r="H43" s="10"/>
      <c r="I43" s="10"/>
      <c r="J43" s="11"/>
      <c r="K43" s="23" t="str">
        <f>K36+K39+K42</f>
        <v>#DIV/0!</v>
      </c>
    </row>
    <row r="45">
      <c r="F45" s="1" t="s">
        <v>31</v>
      </c>
    </row>
    <row r="46">
      <c r="F46" s="27" t="s">
        <v>32</v>
      </c>
    </row>
    <row r="47">
      <c r="F47" s="27" t="s">
        <v>33</v>
      </c>
    </row>
  </sheetData>
  <mergeCells count="30">
    <mergeCell ref="A4:A5"/>
    <mergeCell ref="G4:G5"/>
    <mergeCell ref="A6:B6"/>
    <mergeCell ref="G6:H6"/>
    <mergeCell ref="G7:G8"/>
    <mergeCell ref="G9:H9"/>
    <mergeCell ref="F10:J10"/>
    <mergeCell ref="G16:G17"/>
    <mergeCell ref="G22:G23"/>
    <mergeCell ref="G24:H24"/>
    <mergeCell ref="G25:G26"/>
    <mergeCell ref="G30:H30"/>
    <mergeCell ref="F31:J31"/>
    <mergeCell ref="F4:F9"/>
    <mergeCell ref="F13:F18"/>
    <mergeCell ref="G13:G14"/>
    <mergeCell ref="G15:H15"/>
    <mergeCell ref="G18:H18"/>
    <mergeCell ref="F19:J19"/>
    <mergeCell ref="F22:F30"/>
    <mergeCell ref="G40:G41"/>
    <mergeCell ref="G42:H42"/>
    <mergeCell ref="F43:J43"/>
    <mergeCell ref="G27:H27"/>
    <mergeCell ref="G28:G29"/>
    <mergeCell ref="F34:F42"/>
    <mergeCell ref="G34:G35"/>
    <mergeCell ref="G36:H36"/>
    <mergeCell ref="G37:G38"/>
    <mergeCell ref="G39:H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25"/>
    <col customWidth="1" min="3" max="3" width="15.38"/>
    <col customWidth="1" min="4" max="4" width="17.88"/>
    <col customWidth="1" min="10" max="10" width="20.25"/>
    <col customWidth="1" min="11" max="11" width="30.25"/>
    <col customWidth="1" min="13" max="13" width="17.25"/>
  </cols>
  <sheetData>
    <row r="2">
      <c r="A2" s="1" t="s">
        <v>18</v>
      </c>
      <c r="F2" s="1" t="s">
        <v>19</v>
      </c>
      <c r="M2" s="1" t="s">
        <v>20</v>
      </c>
    </row>
    <row r="3">
      <c r="A3" s="4" t="s">
        <v>21</v>
      </c>
      <c r="B3" s="3" t="s">
        <v>22</v>
      </c>
      <c r="C3" s="3" t="s">
        <v>23</v>
      </c>
      <c r="D3" s="14" t="s">
        <v>24</v>
      </c>
      <c r="F3" s="4" t="s">
        <v>25</v>
      </c>
      <c r="G3" s="3" t="s">
        <v>26</v>
      </c>
      <c r="H3" s="3" t="s">
        <v>22</v>
      </c>
      <c r="I3" s="3" t="s">
        <v>23</v>
      </c>
      <c r="J3" s="14" t="s">
        <v>24</v>
      </c>
      <c r="K3" s="14" t="s">
        <v>27</v>
      </c>
      <c r="M3" s="4" t="s">
        <v>25</v>
      </c>
      <c r="N3" s="3" t="s">
        <v>28</v>
      </c>
    </row>
    <row r="4">
      <c r="A4" s="15" t="s">
        <v>34</v>
      </c>
      <c r="B4" s="12" t="s">
        <v>35</v>
      </c>
      <c r="C4" s="12">
        <v>9.0</v>
      </c>
      <c r="D4" s="16">
        <f t="shared" ref="D4:D5" si="1">-1*(C4/SUM($C$4:$C$5))*log(C4/SUM($C$4:$C$5),2)</f>
        <v>0.4097763775</v>
      </c>
      <c r="F4" s="15" t="s">
        <v>36</v>
      </c>
      <c r="G4" s="17" t="s">
        <v>37</v>
      </c>
      <c r="H4" s="12" t="s">
        <v>35</v>
      </c>
      <c r="I4" s="12">
        <v>6.0</v>
      </c>
      <c r="J4" s="16">
        <f t="shared" ref="J4:J5" si="2">-1*(I4/$I$6)*log(I4/$I$6,2)</f>
        <v>0.3112781245</v>
      </c>
      <c r="K4" s="18"/>
      <c r="M4" s="6" t="str">
        <f>F4</f>
        <v>Wind</v>
      </c>
      <c r="N4" s="19">
        <f>$D$6-K10</f>
        <v>0.04812703041</v>
      </c>
    </row>
    <row r="5">
      <c r="A5" s="20"/>
      <c r="B5" s="12" t="s">
        <v>38</v>
      </c>
      <c r="C5" s="12">
        <v>5.0</v>
      </c>
      <c r="D5" s="16">
        <f t="shared" si="1"/>
        <v>0.5305095811</v>
      </c>
      <c r="F5" s="21"/>
      <c r="G5" s="20"/>
      <c r="H5" s="12" t="s">
        <v>38</v>
      </c>
      <c r="I5" s="12">
        <v>2.0</v>
      </c>
      <c r="J5" s="16">
        <f t="shared" si="2"/>
        <v>0.5</v>
      </c>
      <c r="K5" s="18"/>
    </row>
    <row r="6">
      <c r="A6" s="22" t="s">
        <v>29</v>
      </c>
      <c r="B6" s="11"/>
      <c r="C6" s="3">
        <f t="shared" ref="C6:D6" si="3">SUM(C4:C5)</f>
        <v>14</v>
      </c>
      <c r="D6" s="23">
        <f t="shared" si="3"/>
        <v>0.9402859587</v>
      </c>
      <c r="F6" s="21"/>
      <c r="G6" s="9" t="s">
        <v>14</v>
      </c>
      <c r="H6" s="11"/>
      <c r="I6" s="8">
        <f t="shared" ref="I6:J6" si="4">SUM(I4:I5)</f>
        <v>8</v>
      </c>
      <c r="J6" s="23">
        <f t="shared" si="4"/>
        <v>0.8112781245</v>
      </c>
      <c r="K6" s="23">
        <f>(I6/$C$6)*J6</f>
        <v>0.4635874997</v>
      </c>
    </row>
    <row r="7">
      <c r="D7" s="24"/>
      <c r="F7" s="21"/>
      <c r="G7" s="17" t="s">
        <v>39</v>
      </c>
      <c r="H7" s="12" t="s">
        <v>35</v>
      </c>
      <c r="I7" s="12">
        <v>3.0</v>
      </c>
      <c r="J7" s="16">
        <f t="shared" ref="J7:J8" si="5">-1*(I7/$I$9)*log(I7/$I$9,2)</f>
        <v>0.5</v>
      </c>
      <c r="K7" s="18"/>
    </row>
    <row r="8">
      <c r="F8" s="21"/>
      <c r="G8" s="20"/>
      <c r="H8" s="12" t="s">
        <v>38</v>
      </c>
      <c r="I8" s="12">
        <v>3.0</v>
      </c>
      <c r="J8" s="16">
        <f t="shared" si="5"/>
        <v>0.5</v>
      </c>
      <c r="K8" s="18"/>
    </row>
    <row r="9">
      <c r="F9" s="20"/>
      <c r="G9" s="9" t="s">
        <v>14</v>
      </c>
      <c r="H9" s="11"/>
      <c r="I9" s="8">
        <f>sum(I7:I8)</f>
        <v>6</v>
      </c>
      <c r="J9" s="23">
        <f>SUM(J7:J8)</f>
        <v>1</v>
      </c>
      <c r="K9" s="23">
        <f>(I9/$C$6)*J9</f>
        <v>0.4285714286</v>
      </c>
    </row>
    <row r="10">
      <c r="F10" s="22" t="s">
        <v>30</v>
      </c>
      <c r="G10" s="10"/>
      <c r="H10" s="10"/>
      <c r="I10" s="10"/>
      <c r="J10" s="11"/>
      <c r="K10" s="23">
        <f>K6+K9</f>
        <v>0.8921589283</v>
      </c>
    </row>
    <row r="12">
      <c r="F12" s="4" t="s">
        <v>25</v>
      </c>
      <c r="G12" s="3" t="s">
        <v>26</v>
      </c>
      <c r="H12" s="3" t="s">
        <v>22</v>
      </c>
      <c r="I12" s="3" t="s">
        <v>23</v>
      </c>
      <c r="J12" s="14" t="s">
        <v>24</v>
      </c>
      <c r="K12" s="14" t="s">
        <v>27</v>
      </c>
      <c r="M12" s="4" t="s">
        <v>25</v>
      </c>
      <c r="N12" s="3" t="s">
        <v>28</v>
      </c>
    </row>
    <row r="13">
      <c r="F13" s="15" t="s">
        <v>40</v>
      </c>
      <c r="G13" s="17" t="s">
        <v>41</v>
      </c>
      <c r="H13" s="12" t="s">
        <v>35</v>
      </c>
      <c r="I13" s="12">
        <v>3.0</v>
      </c>
      <c r="J13" s="16">
        <f t="shared" ref="J13:J14" si="6">-1*(I13/$I$15)*log(I13/$I$15,2)</f>
        <v>0.5238824663</v>
      </c>
      <c r="K13" s="18"/>
      <c r="M13" s="6" t="str">
        <f>F13</f>
        <v>Humidity</v>
      </c>
      <c r="N13" s="19">
        <f>$D$6-K19</f>
        <v>0.1518355014</v>
      </c>
    </row>
    <row r="14">
      <c r="F14" s="21"/>
      <c r="G14" s="20"/>
      <c r="H14" s="12" t="s">
        <v>38</v>
      </c>
      <c r="I14" s="12">
        <v>4.0</v>
      </c>
      <c r="J14" s="16">
        <f t="shared" si="6"/>
        <v>0.4613456697</v>
      </c>
      <c r="K14" s="18"/>
    </row>
    <row r="15">
      <c r="F15" s="21"/>
      <c r="G15" s="9" t="s">
        <v>14</v>
      </c>
      <c r="H15" s="11"/>
      <c r="I15" s="8">
        <f t="shared" ref="I15:J15" si="7">SUM(I13:I14)</f>
        <v>7</v>
      </c>
      <c r="J15" s="23">
        <f t="shared" si="7"/>
        <v>0.985228136</v>
      </c>
      <c r="K15" s="23">
        <f>(I15/$C$6)*J15</f>
        <v>0.492614068</v>
      </c>
    </row>
    <row r="16">
      <c r="F16" s="21"/>
      <c r="G16" s="17" t="s">
        <v>42</v>
      </c>
      <c r="H16" s="12" t="s">
        <v>35</v>
      </c>
      <c r="I16" s="12">
        <v>6.0</v>
      </c>
      <c r="J16" s="16">
        <f t="shared" ref="J16:J17" si="8">-1*(I16/$I$18)*log(I16/$I$18,2)</f>
        <v>0.1906220754</v>
      </c>
      <c r="K16" s="18"/>
    </row>
    <row r="17">
      <c r="F17" s="21"/>
      <c r="G17" s="20"/>
      <c r="H17" s="12" t="s">
        <v>38</v>
      </c>
      <c r="I17" s="12">
        <v>1.0</v>
      </c>
      <c r="J17" s="16">
        <f t="shared" si="8"/>
        <v>0.4010507032</v>
      </c>
      <c r="K17" s="18"/>
    </row>
    <row r="18">
      <c r="F18" s="20"/>
      <c r="G18" s="9" t="s">
        <v>14</v>
      </c>
      <c r="H18" s="11"/>
      <c r="I18" s="8">
        <f>sum(I16:I17)</f>
        <v>7</v>
      </c>
      <c r="J18" s="23">
        <f>SUM(J16:J17)</f>
        <v>0.5916727786</v>
      </c>
      <c r="K18" s="23">
        <f>(I18/$C$6)*J18</f>
        <v>0.2958363893</v>
      </c>
    </row>
    <row r="19">
      <c r="F19" s="22" t="s">
        <v>30</v>
      </c>
      <c r="G19" s="10"/>
      <c r="H19" s="10"/>
      <c r="I19" s="10"/>
      <c r="J19" s="11"/>
      <c r="K19" s="23">
        <f>K15+K18</f>
        <v>0.7884504573</v>
      </c>
    </row>
    <row r="21">
      <c r="F21" s="4" t="s">
        <v>25</v>
      </c>
      <c r="G21" s="3" t="s">
        <v>26</v>
      </c>
      <c r="H21" s="3" t="s">
        <v>22</v>
      </c>
      <c r="I21" s="3" t="s">
        <v>23</v>
      </c>
      <c r="J21" s="14" t="s">
        <v>24</v>
      </c>
      <c r="K21" s="14" t="s">
        <v>27</v>
      </c>
      <c r="M21" s="4" t="s">
        <v>25</v>
      </c>
      <c r="N21" s="3" t="s">
        <v>28</v>
      </c>
    </row>
    <row r="22">
      <c r="F22" s="15" t="s">
        <v>43</v>
      </c>
      <c r="G22" s="17" t="s">
        <v>44</v>
      </c>
      <c r="H22" s="12" t="s">
        <v>35</v>
      </c>
      <c r="I22" s="12">
        <v>2.0</v>
      </c>
      <c r="J22" s="16">
        <f t="shared" ref="J22:J23" si="9">-1*(I22/$I$24)*log(I22/$I$24,2)</f>
        <v>0.5</v>
      </c>
      <c r="K22" s="18"/>
      <c r="M22" s="6" t="str">
        <f>F22</f>
        <v>Temperature</v>
      </c>
      <c r="N22" s="19">
        <f>$D$6-K31</f>
        <v>0.02922256566</v>
      </c>
    </row>
    <row r="23">
      <c r="F23" s="21"/>
      <c r="G23" s="20"/>
      <c r="H23" s="12" t="s">
        <v>38</v>
      </c>
      <c r="I23" s="12">
        <v>2.0</v>
      </c>
      <c r="J23" s="16">
        <f t="shared" si="9"/>
        <v>0.5</v>
      </c>
      <c r="K23" s="18"/>
    </row>
    <row r="24">
      <c r="F24" s="21"/>
      <c r="G24" s="9" t="s">
        <v>14</v>
      </c>
      <c r="H24" s="11"/>
      <c r="I24" s="8">
        <f t="shared" ref="I24:J24" si="10">SUM(I22:I23)</f>
        <v>4</v>
      </c>
      <c r="J24" s="23">
        <f t="shared" si="10"/>
        <v>1</v>
      </c>
      <c r="K24" s="23">
        <f>(I24/$C$6)*J24</f>
        <v>0.2857142857</v>
      </c>
    </row>
    <row r="25">
      <c r="F25" s="21"/>
      <c r="G25" s="17" t="s">
        <v>45</v>
      </c>
      <c r="H25" s="12" t="s">
        <v>35</v>
      </c>
      <c r="I25" s="12">
        <v>4.0</v>
      </c>
      <c r="J25" s="16">
        <f t="shared" ref="J25:J26" si="11">-1*(I25/$I$27)*log(I25/$I$27,2)</f>
        <v>0.3899750005</v>
      </c>
      <c r="K25" s="18"/>
    </row>
    <row r="26">
      <c r="F26" s="21"/>
      <c r="G26" s="20"/>
      <c r="H26" s="12" t="s">
        <v>38</v>
      </c>
      <c r="I26" s="12">
        <v>2.0</v>
      </c>
      <c r="J26" s="16">
        <f t="shared" si="11"/>
        <v>0.5283208336</v>
      </c>
      <c r="K26" s="18"/>
    </row>
    <row r="27">
      <c r="F27" s="21"/>
      <c r="G27" s="9" t="s">
        <v>14</v>
      </c>
      <c r="H27" s="11"/>
      <c r="I27" s="8">
        <f>sum(I25:I26)</f>
        <v>6</v>
      </c>
      <c r="J27" s="23">
        <f>SUM(J25:J26)</f>
        <v>0.9182958341</v>
      </c>
      <c r="K27" s="23">
        <f>(I27/$C$6)*J27</f>
        <v>0.3935553575</v>
      </c>
    </row>
    <row r="28">
      <c r="F28" s="21"/>
      <c r="G28" s="17" t="s">
        <v>46</v>
      </c>
      <c r="H28" s="12" t="s">
        <v>35</v>
      </c>
      <c r="I28" s="12">
        <v>3.0</v>
      </c>
      <c r="J28" s="25">
        <f t="shared" ref="J28:J29" si="12">-1*(I28/$I$30)*log(I28/$I$30,2)</f>
        <v>0.3112781245</v>
      </c>
      <c r="K28" s="18"/>
    </row>
    <row r="29">
      <c r="F29" s="21"/>
      <c r="G29" s="20"/>
      <c r="H29" s="12" t="s">
        <v>38</v>
      </c>
      <c r="I29" s="12">
        <v>1.0</v>
      </c>
      <c r="J29" s="25">
        <f t="shared" si="12"/>
        <v>0.5</v>
      </c>
      <c r="K29" s="18"/>
    </row>
    <row r="30">
      <c r="F30" s="20"/>
      <c r="G30" s="9" t="s">
        <v>14</v>
      </c>
      <c r="H30" s="11"/>
      <c r="I30" s="3">
        <f t="shared" ref="I30:J30" si="13">SUM(I28:I29)</f>
        <v>4</v>
      </c>
      <c r="J30" s="26">
        <f t="shared" si="13"/>
        <v>0.8112781245</v>
      </c>
      <c r="K30" s="23">
        <f>(I30/$C$6)*J30</f>
        <v>0.2317937498</v>
      </c>
    </row>
    <row r="31">
      <c r="F31" s="22" t="s">
        <v>30</v>
      </c>
      <c r="G31" s="10"/>
      <c r="H31" s="10"/>
      <c r="I31" s="10"/>
      <c r="J31" s="11"/>
      <c r="K31" s="23">
        <f>K24+K27+K30</f>
        <v>0.911063393</v>
      </c>
    </row>
    <row r="33">
      <c r="F33" s="4" t="s">
        <v>25</v>
      </c>
      <c r="G33" s="3" t="s">
        <v>26</v>
      </c>
      <c r="H33" s="3" t="s">
        <v>22</v>
      </c>
      <c r="I33" s="3" t="s">
        <v>23</v>
      </c>
      <c r="J33" s="14" t="s">
        <v>24</v>
      </c>
      <c r="K33" s="14" t="s">
        <v>27</v>
      </c>
      <c r="M33" s="4" t="s">
        <v>25</v>
      </c>
      <c r="N33" s="3" t="s">
        <v>28</v>
      </c>
    </row>
    <row r="34">
      <c r="F34" s="15" t="s">
        <v>47</v>
      </c>
      <c r="G34" s="17" t="s">
        <v>48</v>
      </c>
      <c r="H34" s="12" t="s">
        <v>35</v>
      </c>
      <c r="I34" s="12">
        <v>2.0</v>
      </c>
      <c r="J34" s="16">
        <f t="shared" ref="J34:J35" si="14">-1*(I34/$I$36)*log(I34/$I$36,2)</f>
        <v>0.528771238</v>
      </c>
      <c r="K34" s="18"/>
      <c r="M34" s="4" t="str">
        <f>F34</f>
        <v>Outlook</v>
      </c>
      <c r="N34" s="28">
        <f>$D$6-K43</f>
        <v>0.2467498198</v>
      </c>
    </row>
    <row r="35">
      <c r="F35" s="21"/>
      <c r="G35" s="20"/>
      <c r="H35" s="12" t="s">
        <v>38</v>
      </c>
      <c r="I35" s="12">
        <v>3.0</v>
      </c>
      <c r="J35" s="16">
        <f t="shared" si="14"/>
        <v>0.4421793565</v>
      </c>
      <c r="K35" s="18"/>
    </row>
    <row r="36">
      <c r="F36" s="21"/>
      <c r="G36" s="9" t="s">
        <v>14</v>
      </c>
      <c r="H36" s="11"/>
      <c r="I36" s="8">
        <f t="shared" ref="I36:J36" si="15">SUM(I34:I35)</f>
        <v>5</v>
      </c>
      <c r="J36" s="23">
        <f t="shared" si="15"/>
        <v>0.9709505945</v>
      </c>
      <c r="K36" s="23">
        <f>(I36/$C$6)*J36</f>
        <v>0.3467680694</v>
      </c>
    </row>
    <row r="37">
      <c r="F37" s="21"/>
      <c r="G37" s="17" t="s">
        <v>49</v>
      </c>
      <c r="H37" s="12" t="s">
        <v>35</v>
      </c>
      <c r="I37" s="12">
        <v>4.0</v>
      </c>
      <c r="J37" s="16">
        <f>-1*(I37/$I$39)*log(I37/$I$39,2)</f>
        <v>0</v>
      </c>
      <c r="K37" s="18"/>
    </row>
    <row r="38">
      <c r="F38" s="21"/>
      <c r="G38" s="20"/>
      <c r="H38" s="12" t="s">
        <v>38</v>
      </c>
      <c r="I38" s="12">
        <v>0.0</v>
      </c>
      <c r="J38" s="25">
        <v>0.0</v>
      </c>
      <c r="K38" s="18"/>
    </row>
    <row r="39">
      <c r="F39" s="21"/>
      <c r="G39" s="9" t="s">
        <v>14</v>
      </c>
      <c r="H39" s="11"/>
      <c r="I39" s="8">
        <f>sum(I37:I38)</f>
        <v>4</v>
      </c>
      <c r="J39" s="26">
        <f>SUM(J37:J38)</f>
        <v>0</v>
      </c>
      <c r="K39" s="23">
        <f>(I39/$C$6)*J39</f>
        <v>0</v>
      </c>
    </row>
    <row r="40">
      <c r="F40" s="21"/>
      <c r="G40" s="17" t="s">
        <v>50</v>
      </c>
      <c r="H40" s="12" t="s">
        <v>35</v>
      </c>
      <c r="I40" s="12">
        <v>3.0</v>
      </c>
      <c r="J40" s="25">
        <f t="shared" ref="J40:J41" si="16">-1*(I40/$I$42)*log(I40/$I$42,2)</f>
        <v>0.4421793565</v>
      </c>
      <c r="K40" s="18"/>
    </row>
    <row r="41">
      <c r="F41" s="21"/>
      <c r="G41" s="20"/>
      <c r="H41" s="12" t="s">
        <v>38</v>
      </c>
      <c r="I41" s="12">
        <v>2.0</v>
      </c>
      <c r="J41" s="25">
        <f t="shared" si="16"/>
        <v>0.528771238</v>
      </c>
      <c r="K41" s="18"/>
    </row>
    <row r="42">
      <c r="F42" s="20"/>
      <c r="G42" s="9" t="s">
        <v>14</v>
      </c>
      <c r="H42" s="11"/>
      <c r="I42" s="3">
        <f t="shared" ref="I42:J42" si="17">SUM(I40:I41)</f>
        <v>5</v>
      </c>
      <c r="J42" s="26">
        <f t="shared" si="17"/>
        <v>0.9709505945</v>
      </c>
      <c r="K42" s="23">
        <f>(I42/$C$6)*J42</f>
        <v>0.3467680694</v>
      </c>
    </row>
    <row r="43">
      <c r="F43" s="22" t="s">
        <v>30</v>
      </c>
      <c r="G43" s="10"/>
      <c r="H43" s="10"/>
      <c r="I43" s="10"/>
      <c r="J43" s="11"/>
      <c r="K43" s="23">
        <f>K36+K39+K42</f>
        <v>0.6935361389</v>
      </c>
    </row>
    <row r="45">
      <c r="F45" s="1" t="s">
        <v>31</v>
      </c>
    </row>
    <row r="46">
      <c r="F46" s="27" t="s">
        <v>32</v>
      </c>
    </row>
    <row r="47">
      <c r="F47" s="27" t="s">
        <v>33</v>
      </c>
    </row>
  </sheetData>
  <mergeCells count="30">
    <mergeCell ref="A4:A5"/>
    <mergeCell ref="G4:G5"/>
    <mergeCell ref="A6:B6"/>
    <mergeCell ref="G6:H6"/>
    <mergeCell ref="G7:G8"/>
    <mergeCell ref="G9:H9"/>
    <mergeCell ref="F10:J10"/>
    <mergeCell ref="G16:G17"/>
    <mergeCell ref="G22:G23"/>
    <mergeCell ref="G24:H24"/>
    <mergeCell ref="G25:G26"/>
    <mergeCell ref="G30:H30"/>
    <mergeCell ref="F31:J31"/>
    <mergeCell ref="F4:F9"/>
    <mergeCell ref="F13:F18"/>
    <mergeCell ref="G13:G14"/>
    <mergeCell ref="G15:H15"/>
    <mergeCell ref="G18:H18"/>
    <mergeCell ref="F19:J19"/>
    <mergeCell ref="F22:F30"/>
    <mergeCell ref="G40:G41"/>
    <mergeCell ref="G42:H42"/>
    <mergeCell ref="F43:J43"/>
    <mergeCell ref="G27:H27"/>
    <mergeCell ref="G28:G29"/>
    <mergeCell ref="F34:F42"/>
    <mergeCell ref="G34:G35"/>
    <mergeCell ref="G36:H36"/>
    <mergeCell ref="G37:G38"/>
    <mergeCell ref="G39:H3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5.25"/>
    <col customWidth="1" min="3" max="3" width="15.38"/>
    <col customWidth="1" min="4" max="4" width="17.88"/>
    <col customWidth="1" min="10" max="10" width="20.25"/>
    <col customWidth="1" min="11" max="11" width="30.25"/>
    <col customWidth="1" min="13" max="13" width="17.25"/>
  </cols>
  <sheetData>
    <row r="2">
      <c r="A2" s="1" t="s">
        <v>18</v>
      </c>
      <c r="F2" s="1" t="s">
        <v>19</v>
      </c>
      <c r="M2" s="1" t="s">
        <v>20</v>
      </c>
    </row>
    <row r="3">
      <c r="A3" s="4" t="s">
        <v>21</v>
      </c>
      <c r="B3" s="3" t="s">
        <v>22</v>
      </c>
      <c r="C3" s="3" t="s">
        <v>23</v>
      </c>
      <c r="D3" s="14" t="s">
        <v>24</v>
      </c>
      <c r="F3" s="4" t="s">
        <v>25</v>
      </c>
      <c r="G3" s="3" t="s">
        <v>26</v>
      </c>
      <c r="H3" s="3" t="s">
        <v>22</v>
      </c>
      <c r="I3" s="3" t="s">
        <v>23</v>
      </c>
      <c r="J3" s="14" t="s">
        <v>24</v>
      </c>
      <c r="K3" s="14" t="s">
        <v>27</v>
      </c>
      <c r="M3" s="4" t="s">
        <v>25</v>
      </c>
      <c r="N3" s="3" t="s">
        <v>28</v>
      </c>
    </row>
    <row r="4">
      <c r="A4" s="29" t="s">
        <v>51</v>
      </c>
      <c r="B4" s="12" t="s">
        <v>35</v>
      </c>
      <c r="C4" s="12">
        <v>2.0</v>
      </c>
      <c r="D4" s="16">
        <f t="shared" ref="D4:D5" si="1">-1*(C4/SUM($C$4:$C$5))*log(C4/SUM($C$4:$C$5),2)</f>
        <v>0.528771238</v>
      </c>
      <c r="F4" s="15" t="s">
        <v>36</v>
      </c>
      <c r="G4" s="17" t="s">
        <v>37</v>
      </c>
      <c r="H4" s="12" t="s">
        <v>35</v>
      </c>
      <c r="I4" s="12">
        <v>1.0</v>
      </c>
      <c r="J4" s="16">
        <f t="shared" ref="J4:J5" si="2">-1*(I4/$I$6)*log(I4/$I$6,2)</f>
        <v>0.5283208336</v>
      </c>
      <c r="K4" s="18"/>
      <c r="M4" s="6" t="str">
        <f>F4</f>
        <v>Wind</v>
      </c>
      <c r="N4" s="16">
        <f>$D$6-K10</f>
        <v>0.01997309402</v>
      </c>
    </row>
    <row r="5">
      <c r="A5" s="20"/>
      <c r="B5" s="12" t="s">
        <v>38</v>
      </c>
      <c r="C5" s="12">
        <v>3.0</v>
      </c>
      <c r="D5" s="16">
        <f t="shared" si="1"/>
        <v>0.4421793565</v>
      </c>
      <c r="F5" s="21"/>
      <c r="G5" s="20"/>
      <c r="H5" s="12" t="s">
        <v>38</v>
      </c>
      <c r="I5" s="12">
        <v>2.0</v>
      </c>
      <c r="J5" s="16">
        <f t="shared" si="2"/>
        <v>0.3899750005</v>
      </c>
      <c r="K5" s="18"/>
    </row>
    <row r="6">
      <c r="A6" s="22" t="s">
        <v>29</v>
      </c>
      <c r="B6" s="11"/>
      <c r="C6" s="3">
        <f t="shared" ref="C6:D6" si="3">SUM(C4:C5)</f>
        <v>5</v>
      </c>
      <c r="D6" s="23">
        <f t="shared" si="3"/>
        <v>0.9709505945</v>
      </c>
      <c r="F6" s="21"/>
      <c r="G6" s="9" t="s">
        <v>14</v>
      </c>
      <c r="H6" s="11"/>
      <c r="I6" s="8">
        <f t="shared" ref="I6:J6" si="4">SUM(I4:I5)</f>
        <v>3</v>
      </c>
      <c r="J6" s="23">
        <f t="shared" si="4"/>
        <v>0.9182958341</v>
      </c>
      <c r="K6" s="23">
        <f>(I6/$C$6)*J6</f>
        <v>0.5509775004</v>
      </c>
    </row>
    <row r="7">
      <c r="D7" s="24"/>
      <c r="F7" s="21"/>
      <c r="G7" s="17" t="s">
        <v>39</v>
      </c>
      <c r="H7" s="12" t="s">
        <v>35</v>
      </c>
      <c r="I7" s="12">
        <v>1.0</v>
      </c>
      <c r="J7" s="16">
        <f t="shared" ref="J7:J8" si="5">-1*(I7/$I$9)*log(I7/$I$9,2)</f>
        <v>0.5</v>
      </c>
      <c r="K7" s="18"/>
    </row>
    <row r="8">
      <c r="F8" s="21"/>
      <c r="G8" s="20"/>
      <c r="H8" s="12" t="s">
        <v>38</v>
      </c>
      <c r="I8" s="12">
        <v>1.0</v>
      </c>
      <c r="J8" s="16">
        <f t="shared" si="5"/>
        <v>0.5</v>
      </c>
      <c r="K8" s="18"/>
    </row>
    <row r="9">
      <c r="F9" s="20"/>
      <c r="G9" s="9" t="s">
        <v>14</v>
      </c>
      <c r="H9" s="11"/>
      <c r="I9" s="8">
        <f>sum(I7:I8)</f>
        <v>2</v>
      </c>
      <c r="J9" s="23">
        <f>SUM(J7:J8)</f>
        <v>1</v>
      </c>
      <c r="K9" s="23">
        <f>(I9/$C$6)*J9</f>
        <v>0.4</v>
      </c>
    </row>
    <row r="10">
      <c r="F10" s="22" t="s">
        <v>30</v>
      </c>
      <c r="G10" s="10"/>
      <c r="H10" s="10"/>
      <c r="I10" s="10"/>
      <c r="J10" s="11"/>
      <c r="K10" s="23">
        <f>K6+K9</f>
        <v>0.9509775004</v>
      </c>
    </row>
    <row r="12">
      <c r="F12" s="4" t="s">
        <v>25</v>
      </c>
      <c r="G12" s="3" t="s">
        <v>26</v>
      </c>
      <c r="H12" s="3" t="s">
        <v>22</v>
      </c>
      <c r="I12" s="3" t="s">
        <v>23</v>
      </c>
      <c r="J12" s="14" t="s">
        <v>24</v>
      </c>
      <c r="K12" s="14" t="s">
        <v>27</v>
      </c>
      <c r="M12" s="4" t="s">
        <v>25</v>
      </c>
      <c r="N12" s="3" t="s">
        <v>28</v>
      </c>
    </row>
    <row r="13">
      <c r="F13" s="15" t="s">
        <v>40</v>
      </c>
      <c r="G13" s="17" t="s">
        <v>41</v>
      </c>
      <c r="H13" s="12" t="s">
        <v>35</v>
      </c>
      <c r="I13" s="12">
        <v>0.0</v>
      </c>
      <c r="J13" s="25">
        <v>0.0</v>
      </c>
      <c r="K13" s="18"/>
      <c r="M13" s="6" t="str">
        <f>F13</f>
        <v>Humidity</v>
      </c>
      <c r="N13" s="28">
        <f>$D$6-K19</f>
        <v>0.9709505945</v>
      </c>
    </row>
    <row r="14">
      <c r="F14" s="21"/>
      <c r="G14" s="20"/>
      <c r="H14" s="12" t="s">
        <v>38</v>
      </c>
      <c r="I14" s="12">
        <v>3.0</v>
      </c>
      <c r="J14" s="16">
        <f>-1*(I14/$I$15)*log(I14/$I$15,2)</f>
        <v>0</v>
      </c>
      <c r="K14" s="18"/>
    </row>
    <row r="15">
      <c r="F15" s="21"/>
      <c r="G15" s="9" t="s">
        <v>14</v>
      </c>
      <c r="H15" s="11"/>
      <c r="I15" s="8">
        <f t="shared" ref="I15:J15" si="6">SUM(I13:I14)</f>
        <v>3</v>
      </c>
      <c r="J15" s="23">
        <f t="shared" si="6"/>
        <v>0</v>
      </c>
      <c r="K15" s="23">
        <f>(I15/$C$6)*J15</f>
        <v>0</v>
      </c>
    </row>
    <row r="16">
      <c r="F16" s="21"/>
      <c r="G16" s="17" t="s">
        <v>42</v>
      </c>
      <c r="H16" s="12" t="s">
        <v>35</v>
      </c>
      <c r="I16" s="12">
        <v>2.0</v>
      </c>
      <c r="J16" s="16">
        <f>-1*(I16/$I$18)*log(I16/$I$18,2)</f>
        <v>0</v>
      </c>
      <c r="K16" s="18"/>
    </row>
    <row r="17">
      <c r="F17" s="21"/>
      <c r="G17" s="20"/>
      <c r="H17" s="12" t="s">
        <v>38</v>
      </c>
      <c r="I17" s="12">
        <v>0.0</v>
      </c>
      <c r="J17" s="25">
        <v>0.0</v>
      </c>
      <c r="K17" s="18"/>
    </row>
    <row r="18">
      <c r="F18" s="20"/>
      <c r="G18" s="9" t="s">
        <v>14</v>
      </c>
      <c r="H18" s="11"/>
      <c r="I18" s="8">
        <f>sum(I16:I17)</f>
        <v>2</v>
      </c>
      <c r="J18" s="23">
        <f>SUM(J16:J17)</f>
        <v>0</v>
      </c>
      <c r="K18" s="23">
        <f>(I18/$C$6)*J18</f>
        <v>0</v>
      </c>
    </row>
    <row r="19">
      <c r="F19" s="22" t="s">
        <v>30</v>
      </c>
      <c r="G19" s="10"/>
      <c r="H19" s="10"/>
      <c r="I19" s="10"/>
      <c r="J19" s="11"/>
      <c r="K19" s="23">
        <f>K15+K18</f>
        <v>0</v>
      </c>
    </row>
    <row r="21">
      <c r="F21" s="4" t="s">
        <v>25</v>
      </c>
      <c r="G21" s="3" t="s">
        <v>26</v>
      </c>
      <c r="H21" s="3" t="s">
        <v>22</v>
      </c>
      <c r="I21" s="3" t="s">
        <v>23</v>
      </c>
      <c r="J21" s="14" t="s">
        <v>24</v>
      </c>
      <c r="K21" s="14" t="s">
        <v>27</v>
      </c>
      <c r="M21" s="4" t="s">
        <v>25</v>
      </c>
      <c r="N21" s="3" t="s">
        <v>28</v>
      </c>
    </row>
    <row r="22">
      <c r="F22" s="15" t="s">
        <v>43</v>
      </c>
      <c r="G22" s="17" t="s">
        <v>44</v>
      </c>
      <c r="H22" s="12" t="s">
        <v>35</v>
      </c>
      <c r="I22" s="12">
        <v>0.0</v>
      </c>
      <c r="J22" s="25">
        <v>0.0</v>
      </c>
      <c r="K22" s="18"/>
      <c r="M22" s="6" t="str">
        <f>F22</f>
        <v>Temperature</v>
      </c>
      <c r="N22" s="19">
        <f>$D$6-K31</f>
        <v>0.5709505945</v>
      </c>
    </row>
    <row r="23">
      <c r="F23" s="21"/>
      <c r="G23" s="20"/>
      <c r="H23" s="12" t="s">
        <v>38</v>
      </c>
      <c r="I23" s="12">
        <v>2.0</v>
      </c>
      <c r="J23" s="16">
        <f>-1*(I23/$I$24)*log(I23/$I$24,2)</f>
        <v>0</v>
      </c>
      <c r="K23" s="18"/>
    </row>
    <row r="24">
      <c r="F24" s="21"/>
      <c r="G24" s="9" t="s">
        <v>14</v>
      </c>
      <c r="H24" s="11"/>
      <c r="I24" s="8">
        <f t="shared" ref="I24:J24" si="7">SUM(I22:I23)</f>
        <v>2</v>
      </c>
      <c r="J24" s="23">
        <f t="shared" si="7"/>
        <v>0</v>
      </c>
      <c r="K24" s="23">
        <f>(I24/$C$6)*J24</f>
        <v>0</v>
      </c>
    </row>
    <row r="25">
      <c r="F25" s="21"/>
      <c r="G25" s="17" t="s">
        <v>45</v>
      </c>
      <c r="H25" s="12" t="s">
        <v>35</v>
      </c>
      <c r="I25" s="12">
        <v>1.0</v>
      </c>
      <c r="J25" s="16">
        <f t="shared" ref="J25:J26" si="8">-1*(I25/$I$27)*log(I25/$I$27,2)</f>
        <v>0.5</v>
      </c>
      <c r="K25" s="18"/>
    </row>
    <row r="26">
      <c r="F26" s="21"/>
      <c r="G26" s="20"/>
      <c r="H26" s="12" t="s">
        <v>38</v>
      </c>
      <c r="I26" s="12">
        <v>1.0</v>
      </c>
      <c r="J26" s="16">
        <f t="shared" si="8"/>
        <v>0.5</v>
      </c>
      <c r="K26" s="18"/>
    </row>
    <row r="27">
      <c r="F27" s="21"/>
      <c r="G27" s="9" t="s">
        <v>14</v>
      </c>
      <c r="H27" s="11"/>
      <c r="I27" s="8">
        <f>sum(I25:I26)</f>
        <v>2</v>
      </c>
      <c r="J27" s="23">
        <f>SUM(J25:J26)</f>
        <v>1</v>
      </c>
      <c r="K27" s="23">
        <f>(I27/$C$6)*J27</f>
        <v>0.4</v>
      </c>
    </row>
    <row r="28">
      <c r="F28" s="21"/>
      <c r="G28" s="17" t="s">
        <v>46</v>
      </c>
      <c r="H28" s="12" t="s">
        <v>35</v>
      </c>
      <c r="I28" s="12">
        <v>1.0</v>
      </c>
      <c r="J28" s="25">
        <f>-1*(I28/$I$30)*log(I28/$I$30,2)</f>
        <v>0</v>
      </c>
      <c r="K28" s="18"/>
    </row>
    <row r="29">
      <c r="F29" s="21"/>
      <c r="G29" s="20"/>
      <c r="H29" s="12" t="s">
        <v>38</v>
      </c>
      <c r="I29" s="12">
        <v>0.0</v>
      </c>
      <c r="J29" s="25">
        <v>0.0</v>
      </c>
      <c r="K29" s="18"/>
    </row>
    <row r="30">
      <c r="F30" s="20"/>
      <c r="G30" s="9" t="s">
        <v>14</v>
      </c>
      <c r="H30" s="11"/>
      <c r="I30" s="3">
        <f t="shared" ref="I30:J30" si="9">SUM(I28:I29)</f>
        <v>1</v>
      </c>
      <c r="J30" s="26">
        <f t="shared" si="9"/>
        <v>0</v>
      </c>
      <c r="K30" s="23">
        <f>(I30/$C$6)*J30</f>
        <v>0</v>
      </c>
    </row>
    <row r="31">
      <c r="F31" s="22" t="s">
        <v>30</v>
      </c>
      <c r="G31" s="10"/>
      <c r="H31" s="10"/>
      <c r="I31" s="10"/>
      <c r="J31" s="11"/>
      <c r="K31" s="23">
        <f>K24+K27+K30</f>
        <v>0.4</v>
      </c>
    </row>
    <row r="33">
      <c r="F33" s="4" t="s">
        <v>25</v>
      </c>
      <c r="G33" s="3" t="s">
        <v>26</v>
      </c>
      <c r="H33" s="3" t="s">
        <v>22</v>
      </c>
      <c r="I33" s="3" t="s">
        <v>23</v>
      </c>
      <c r="J33" s="14" t="s">
        <v>24</v>
      </c>
      <c r="K33" s="14" t="s">
        <v>27</v>
      </c>
      <c r="M33" s="4" t="s">
        <v>25</v>
      </c>
      <c r="N33" s="3" t="s">
        <v>28</v>
      </c>
    </row>
    <row r="34">
      <c r="F34" s="15"/>
      <c r="G34" s="17"/>
      <c r="H34" s="12"/>
      <c r="I34" s="12"/>
      <c r="J34" s="16" t="str">
        <f t="shared" ref="J34:J35" si="10">-1*(I34/$I$36)*log(I34/$I$36,2)</f>
        <v>#DIV/0!</v>
      </c>
      <c r="K34" s="18"/>
      <c r="M34" s="6" t="str">
        <f>F34</f>
        <v/>
      </c>
      <c r="N34" s="19" t="str">
        <f>$D$6-K43</f>
        <v>#DIV/0!</v>
      </c>
    </row>
    <row r="35">
      <c r="F35" s="21"/>
      <c r="G35" s="20"/>
      <c r="H35" s="12"/>
      <c r="I35" s="12"/>
      <c r="J35" s="16" t="str">
        <f t="shared" si="10"/>
        <v>#DIV/0!</v>
      </c>
      <c r="K35" s="18"/>
    </row>
    <row r="36">
      <c r="F36" s="21"/>
      <c r="G36" s="9" t="s">
        <v>14</v>
      </c>
      <c r="H36" s="11"/>
      <c r="I36" s="8">
        <f t="shared" ref="I36:J36" si="11">SUM(I34:I35)</f>
        <v>0</v>
      </c>
      <c r="J36" s="23" t="str">
        <f t="shared" si="11"/>
        <v>#DIV/0!</v>
      </c>
      <c r="K36" s="23" t="str">
        <f>(I36/$C$6)*J36</f>
        <v>#DIV/0!</v>
      </c>
    </row>
    <row r="37">
      <c r="F37" s="21"/>
      <c r="G37" s="17"/>
      <c r="H37" s="12"/>
      <c r="I37" s="12"/>
      <c r="J37" s="16" t="str">
        <f>-1*(I37/$I$39)*log(I37/$I$39,2)</f>
        <v>#DIV/0!</v>
      </c>
      <c r="K37" s="18"/>
    </row>
    <row r="38">
      <c r="F38" s="21"/>
      <c r="G38" s="20"/>
      <c r="H38" s="12"/>
      <c r="I38" s="12"/>
      <c r="J38" s="25">
        <v>0.0</v>
      </c>
      <c r="K38" s="18"/>
    </row>
    <row r="39">
      <c r="F39" s="21"/>
      <c r="G39" s="9" t="s">
        <v>14</v>
      </c>
      <c r="H39" s="11"/>
      <c r="I39" s="8">
        <f>sum(I37:I38)</f>
        <v>0</v>
      </c>
      <c r="J39" s="26" t="str">
        <f>SUM(J37:J38)</f>
        <v>#DIV/0!</v>
      </c>
      <c r="K39" s="23" t="str">
        <f>(I39/$C$6)*J39</f>
        <v>#DIV/0!</v>
      </c>
    </row>
    <row r="40">
      <c r="F40" s="21"/>
      <c r="G40" s="17"/>
      <c r="H40" s="12"/>
      <c r="I40" s="12"/>
      <c r="J40" s="25" t="str">
        <f t="shared" ref="J40:J41" si="12">-1*(I40/$I$42)*log(I40/$I$42,2)</f>
        <v>#DIV/0!</v>
      </c>
      <c r="K40" s="18"/>
    </row>
    <row r="41">
      <c r="F41" s="21"/>
      <c r="G41" s="20"/>
      <c r="H41" s="12"/>
      <c r="I41" s="12"/>
      <c r="J41" s="25" t="str">
        <f t="shared" si="12"/>
        <v>#DIV/0!</v>
      </c>
      <c r="K41" s="18"/>
    </row>
    <row r="42">
      <c r="F42" s="20"/>
      <c r="G42" s="9" t="s">
        <v>14</v>
      </c>
      <c r="H42" s="11"/>
      <c r="I42" s="3">
        <f t="shared" ref="I42:J42" si="13">SUM(I40:I41)</f>
        <v>0</v>
      </c>
      <c r="J42" s="26" t="str">
        <f t="shared" si="13"/>
        <v>#DIV/0!</v>
      </c>
      <c r="K42" s="23" t="str">
        <f>(I42/$C$6)*J42</f>
        <v>#DIV/0!</v>
      </c>
    </row>
    <row r="43">
      <c r="F43" s="22" t="s">
        <v>30</v>
      </c>
      <c r="G43" s="10"/>
      <c r="H43" s="10"/>
      <c r="I43" s="10"/>
      <c r="J43" s="11"/>
      <c r="K43" s="23" t="str">
        <f>K36+K39+K42</f>
        <v>#DIV/0!</v>
      </c>
    </row>
    <row r="45">
      <c r="F45" s="1" t="s">
        <v>31</v>
      </c>
    </row>
    <row r="46">
      <c r="F46" s="27" t="s">
        <v>32</v>
      </c>
    </row>
    <row r="47">
      <c r="F47" s="27" t="s">
        <v>33</v>
      </c>
    </row>
  </sheetData>
  <mergeCells count="30">
    <mergeCell ref="A4:A5"/>
    <mergeCell ref="G4:G5"/>
    <mergeCell ref="A6:B6"/>
    <mergeCell ref="G6:H6"/>
    <mergeCell ref="G7:G8"/>
    <mergeCell ref="G9:H9"/>
    <mergeCell ref="F10:J10"/>
    <mergeCell ref="G16:G17"/>
    <mergeCell ref="G22:G23"/>
    <mergeCell ref="G24:H24"/>
    <mergeCell ref="G25:G26"/>
    <mergeCell ref="G30:H30"/>
    <mergeCell ref="F31:J31"/>
    <mergeCell ref="F4:F9"/>
    <mergeCell ref="F13:F18"/>
    <mergeCell ref="G13:G14"/>
    <mergeCell ref="G15:H15"/>
    <mergeCell ref="G18:H18"/>
    <mergeCell ref="F19:J19"/>
    <mergeCell ref="F22:F30"/>
    <mergeCell ref="G40:G41"/>
    <mergeCell ref="G42:H42"/>
    <mergeCell ref="F43:J43"/>
    <mergeCell ref="G27:H27"/>
    <mergeCell ref="G28:G29"/>
    <mergeCell ref="F34:F42"/>
    <mergeCell ref="G34:G35"/>
    <mergeCell ref="G36:H36"/>
    <mergeCell ref="G37:G38"/>
    <mergeCell ref="G39:H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52</v>
      </c>
      <c r="B1" s="27">
        <v>0.001</v>
      </c>
    </row>
    <row r="3">
      <c r="A3" s="27" t="s">
        <v>53</v>
      </c>
      <c r="B3" s="27" t="s">
        <v>54</v>
      </c>
      <c r="C3" s="27" t="s">
        <v>55</v>
      </c>
      <c r="D3" s="27" t="s">
        <v>56</v>
      </c>
      <c r="E3" s="27" t="s">
        <v>57</v>
      </c>
      <c r="F3" s="27" t="s">
        <v>58</v>
      </c>
      <c r="G3" s="27" t="s">
        <v>59</v>
      </c>
      <c r="H3" s="27" t="s">
        <v>60</v>
      </c>
      <c r="I3" s="27" t="s">
        <v>61</v>
      </c>
      <c r="J3" s="27" t="s">
        <v>62</v>
      </c>
      <c r="K3" s="27" t="s">
        <v>63</v>
      </c>
      <c r="L3" s="27" t="s">
        <v>64</v>
      </c>
    </row>
    <row r="4">
      <c r="J4" s="30">
        <f>F4+(B4*G4)+(C4*H4)+(D4*I4)</f>
        <v>0</v>
      </c>
      <c r="K4" s="30">
        <f>IF(SIGN(J4)=0,-1,SIGN(J4))</f>
        <v>-1</v>
      </c>
      <c r="L4" s="30">
        <f>B1*(E4-K4)</f>
        <v>0.001</v>
      </c>
    </row>
    <row r="10">
      <c r="D10" s="30">
        <f>1/(1+exp(-1*(-3)))</f>
        <v>0.04742587318</v>
      </c>
    </row>
    <row r="14">
      <c r="B14" s="27" t="s">
        <v>65</v>
      </c>
      <c r="C14" s="27" t="s">
        <v>59</v>
      </c>
    </row>
  </sheetData>
  <drawing r:id="rId1"/>
</worksheet>
</file>